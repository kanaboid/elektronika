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C:\Users\n.antoniou\Dropbox\ELECTRONICS DESIGNING\TOOLBOXES &amp; CALCULATORS\CALCULATORS\"/>
    </mc:Choice>
  </mc:AlternateContent>
  <xr:revisionPtr revIDLastSave="0" documentId="13_ncr:1_{C3791545-55A2-4AC9-AAA9-737AF30C78DB}" xr6:coauthVersionLast="47" xr6:coauthVersionMax="47" xr10:uidLastSave="{00000000-0000-0000-0000-000000000000}"/>
  <bookViews>
    <workbookView xWindow="28680" yWindow="-120" windowWidth="29040" windowHeight="15840" xr2:uid="{00000000-000D-0000-FFFF-FFFF00000000}"/>
  </bookViews>
  <sheets>
    <sheet name="I2C Pull-Up"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0" i="2" l="1"/>
  <c r="B29" i="2"/>
  <c r="B30" i="2" s="1"/>
  <c r="A33" i="2" s="1"/>
  <c r="B28" i="2"/>
  <c r="E28" i="2" s="1"/>
  <c r="B27" i="2"/>
  <c r="B31" i="2" s="1"/>
  <c r="E3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4" authorId="0" shapeId="0" xr:uid="{1A24AB7F-BCD9-4037-B973-FF4AA871DC3A}">
      <text>
        <r>
          <rPr>
            <b/>
            <sz val="9"/>
            <color indexed="81"/>
            <rFont val="Tahoma"/>
            <family val="2"/>
          </rPr>
          <t>Author:</t>
        </r>
        <r>
          <rPr>
            <sz val="9"/>
            <color indexed="81"/>
            <rFont val="Tahoma"/>
            <family val="2"/>
          </rPr>
          <t xml:space="preserve">
Select I2C Mode
</t>
        </r>
      </text>
    </comment>
    <comment ref="A25" authorId="0" shapeId="0" xr:uid="{67049DB4-DC51-40B1-8379-597224651B86}">
      <text>
        <r>
          <rPr>
            <b/>
            <sz val="9"/>
            <color indexed="81"/>
            <rFont val="Tahoma"/>
            <family val="2"/>
          </rPr>
          <t>Author:</t>
        </r>
        <r>
          <rPr>
            <sz val="9"/>
            <color indexed="81"/>
            <rFont val="Tahoma"/>
            <family val="2"/>
          </rPr>
          <t xml:space="preserve">
Bus voltage e.g 1.8V, 3.3V, 5V etc</t>
        </r>
      </text>
    </comment>
    <comment ref="L25" authorId="0" shapeId="0" xr:uid="{2CE2C19F-E51D-4B11-BA9C-B36738AD0816}">
      <text>
        <r>
          <rPr>
            <b/>
            <sz val="9"/>
            <color indexed="81"/>
            <rFont val="Tahoma"/>
            <family val="2"/>
          </rPr>
          <t>Author:</t>
        </r>
        <r>
          <rPr>
            <sz val="9"/>
            <color indexed="81"/>
            <rFont val="Tahoma"/>
            <family val="2"/>
          </rPr>
          <t xml:space="preserve">
Datasheet pg92
</t>
        </r>
      </text>
    </comment>
    <comment ref="L26" authorId="0" shapeId="0" xr:uid="{06ADCC34-C8E9-4D67-A3D4-83CD26E187CE}">
      <text>
        <r>
          <rPr>
            <b/>
            <sz val="9"/>
            <color indexed="81"/>
            <rFont val="Tahoma"/>
            <family val="2"/>
          </rPr>
          <t>Author:</t>
        </r>
        <r>
          <rPr>
            <sz val="9"/>
            <color indexed="81"/>
            <rFont val="Tahoma"/>
            <family val="2"/>
          </rPr>
          <t xml:space="preserve">
Datasheet pg 5
</t>
        </r>
      </text>
    </comment>
    <comment ref="A27" authorId="0" shapeId="0" xr:uid="{53CED31E-1698-4B0F-A787-2A969250FD2D}">
      <text>
        <r>
          <rPr>
            <b/>
            <sz val="9"/>
            <color indexed="81"/>
            <rFont val="Tahoma"/>
            <family val="2"/>
          </rPr>
          <t>Author:</t>
        </r>
        <r>
          <rPr>
            <sz val="9"/>
            <color indexed="81"/>
            <rFont val="Tahoma"/>
            <family val="2"/>
          </rPr>
          <t xml:space="preserve">
Rise time for SDA and SCL. According to the I2C specification the max. rise time for standard mode (100kHz) is 1000ns, for fast mode (400kHz) is 300ns while for fast mode plus (1000MHz) is just 120ns</t>
        </r>
      </text>
    </comment>
    <comment ref="L27" authorId="0" shapeId="0" xr:uid="{30C7BF57-F3B8-4E14-865D-0FFE21F74F9F}">
      <text>
        <r>
          <rPr>
            <b/>
            <sz val="9"/>
            <color indexed="81"/>
            <rFont val="Tahoma"/>
            <family val="2"/>
          </rPr>
          <t>Author:</t>
        </r>
        <r>
          <rPr>
            <sz val="9"/>
            <color indexed="81"/>
            <rFont val="Tahoma"/>
            <family val="2"/>
          </rPr>
          <t xml:space="preserve">
Datasheet pg 157</t>
        </r>
      </text>
    </comment>
    <comment ref="A28" authorId="0" shapeId="0" xr:uid="{D9E2FAA8-8C1D-4736-BA82-264AC76836E5}">
      <text>
        <r>
          <rPr>
            <b/>
            <sz val="9"/>
            <color indexed="81"/>
            <rFont val="Tahoma"/>
            <family val="2"/>
          </rPr>
          <t>Author:</t>
        </r>
        <r>
          <rPr>
            <sz val="9"/>
            <color indexed="81"/>
            <rFont val="Tahoma"/>
            <family val="2"/>
          </rPr>
          <t xml:space="preserve">
Bus capacitance (trace + pins). According to the I2C specification the max. bus capacitance for standard mode (100kHz) and fast mode (400kHz) is 400pF while for fast mode plus (1000MHz) is 550pF</t>
        </r>
      </text>
    </comment>
    <comment ref="L28" authorId="0" shapeId="0" xr:uid="{D8AD947F-257D-4D72-A744-E7299FD7F3F6}">
      <text>
        <r>
          <rPr>
            <b/>
            <sz val="9"/>
            <color indexed="81"/>
            <rFont val="Tahoma"/>
            <family val="2"/>
          </rPr>
          <t>Author:</t>
        </r>
        <r>
          <rPr>
            <sz val="9"/>
            <color indexed="81"/>
            <rFont val="Tahoma"/>
            <family val="2"/>
          </rPr>
          <t xml:space="preserve">
https://www.skottanselektronik.com/
Relative Permativity = 4.3
w = 0.2 mm
t = 0.036 mm
h = 0.32 mm
Co = 66pf/m
Length: 11mm =&gt; 0.82pf</t>
        </r>
      </text>
    </comment>
    <comment ref="L29" authorId="0" shapeId="0" xr:uid="{2BE23AAF-A467-4233-B785-DE918063237F}">
      <text>
        <r>
          <rPr>
            <b/>
            <sz val="9"/>
            <color indexed="81"/>
            <rFont val="Tahoma"/>
            <family val="2"/>
          </rPr>
          <t>Author:</t>
        </r>
        <r>
          <rPr>
            <sz val="9"/>
            <color indexed="81"/>
            <rFont val="Tahoma"/>
            <family val="2"/>
          </rPr>
          <t xml:space="preserve">
Assumption
</t>
        </r>
      </text>
    </comment>
  </commentList>
</comments>
</file>

<file path=xl/sharedStrings.xml><?xml version="1.0" encoding="utf-8"?>
<sst xmlns="http://schemas.openxmlformats.org/spreadsheetml/2006/main" count="43" uniqueCount="33">
  <si>
    <t>References</t>
  </si>
  <si>
    <t>Standard Mode 100kHz</t>
  </si>
  <si>
    <t>Fast Mode 400kHz</t>
  </si>
  <si>
    <t>Fast Mode plus 1MHz</t>
  </si>
  <si>
    <t>http://www.ti.com/lit/an/slva689/slva689.pdf</t>
  </si>
  <si>
    <r>
      <t>t</t>
    </r>
    <r>
      <rPr>
        <vertAlign val="subscript"/>
        <sz val="11"/>
        <color theme="1"/>
        <rFont val="Calibri"/>
        <family val="2"/>
        <scheme val="minor"/>
      </rPr>
      <t>r</t>
    </r>
  </si>
  <si>
    <t>https://www.youtube.com/watch?v=CEPFWAPDy7o</t>
  </si>
  <si>
    <r>
      <t>C</t>
    </r>
    <r>
      <rPr>
        <vertAlign val="subscript"/>
        <sz val="11"/>
        <color theme="1"/>
        <rFont val="Calibri"/>
        <family val="2"/>
        <scheme val="minor"/>
      </rPr>
      <t>b</t>
    </r>
  </si>
  <si>
    <r>
      <t>V</t>
    </r>
    <r>
      <rPr>
        <vertAlign val="subscript"/>
        <sz val="11"/>
        <color theme="1"/>
        <rFont val="Calibri"/>
        <family val="2"/>
        <scheme val="minor"/>
      </rPr>
      <t>OL</t>
    </r>
  </si>
  <si>
    <t>Max. Pull up resistor</t>
  </si>
  <si>
    <t>Min. Pull up resistor</t>
  </si>
  <si>
    <t>I2C Mode</t>
  </si>
  <si>
    <t>Input</t>
  </si>
  <si>
    <t>Bus Capacitance</t>
  </si>
  <si>
    <r>
      <t>V</t>
    </r>
    <r>
      <rPr>
        <vertAlign val="subscript"/>
        <sz val="11"/>
        <color theme="1"/>
        <rFont val="Calibri"/>
        <family val="2"/>
        <scheme val="minor"/>
      </rPr>
      <t>cc</t>
    </r>
  </si>
  <si>
    <t>V</t>
  </si>
  <si>
    <t>Output</t>
  </si>
  <si>
    <t>IMU</t>
  </si>
  <si>
    <t>Pin Capacitance (pF)</t>
  </si>
  <si>
    <r>
      <t>I</t>
    </r>
    <r>
      <rPr>
        <vertAlign val="subscript"/>
        <sz val="11"/>
        <color theme="1"/>
        <rFont val="Calibri"/>
        <family val="2"/>
        <scheme val="minor"/>
      </rPr>
      <t>OL</t>
    </r>
  </si>
  <si>
    <t>mA</t>
  </si>
  <si>
    <t>Fuel Gauge</t>
  </si>
  <si>
    <t>ns</t>
  </si>
  <si>
    <t>Nrf52840</t>
  </si>
  <si>
    <t>pF</t>
  </si>
  <si>
    <t>Trace Capacitance</t>
  </si>
  <si>
    <t>Other paracitic cap.</t>
  </si>
  <si>
    <t>Rp(min)</t>
  </si>
  <si>
    <t>Ω</t>
  </si>
  <si>
    <t>Total</t>
  </si>
  <si>
    <t>Rp(max)</t>
  </si>
  <si>
    <t>&lt;</t>
  </si>
  <si>
    <r>
      <t>R</t>
    </r>
    <r>
      <rPr>
        <b/>
        <vertAlign val="subscript"/>
        <sz val="14"/>
        <color theme="1"/>
        <rFont val="Calibri"/>
        <family val="2"/>
        <scheme val="minor"/>
      </rPr>
      <t>pull-up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</si>
</sst>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vertAlign val="subscript"/>
      <sz val="11"/>
      <color theme="1"/>
      <name val="Calibri"/>
      <family val="2"/>
      <scheme val="minor"/>
    </font>
    <font>
      <b/>
      <sz val="11"/>
      <color rgb="FFFF0000"/>
      <name val="Calibri"/>
      <family val="2"/>
      <scheme val="minor"/>
    </font>
    <font>
      <b/>
      <sz val="14"/>
      <color theme="1"/>
      <name val="Calibri"/>
      <family val="2"/>
      <scheme val="minor"/>
    </font>
    <font>
      <b/>
      <vertAlign val="subscript"/>
      <sz val="14"/>
      <color theme="1"/>
      <name val="Calibri"/>
      <family val="2"/>
      <scheme val="minor"/>
    </font>
    <font>
      <b/>
      <sz val="9"/>
      <color indexed="81"/>
      <name val="Tahoma"/>
      <family val="2"/>
    </font>
    <font>
      <sz val="9"/>
      <color indexed="81"/>
      <name val="Tahoma"/>
      <family val="2"/>
    </font>
  </fonts>
  <fills count="4">
    <fill>
      <patternFill patternType="none"/>
    </fill>
    <fill>
      <patternFill patternType="gray125"/>
    </fill>
    <fill>
      <patternFill patternType="solid">
        <fgColor rgb="FF92D050"/>
        <bgColor indexed="64"/>
      </patternFill>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1" xfId="0" applyBorder="1"/>
    <xf numFmtId="0" fontId="2" fillId="0" borderId="0" xfId="1"/>
    <xf numFmtId="0" fontId="0" fillId="0" borderId="1" xfId="0" applyBorder="1" applyAlignment="1">
      <alignment horizontal="center"/>
    </xf>
    <xf numFmtId="0" fontId="0" fillId="0" borderId="0" xfId="0" applyAlignment="1">
      <alignment horizontal="center"/>
    </xf>
    <xf numFmtId="0" fontId="1" fillId="0" borderId="0" xfId="0" applyFont="1" applyAlignment="1">
      <alignment horizontal="left" vertical="center"/>
    </xf>
    <xf numFmtId="0" fontId="0" fillId="0" borderId="0" xfId="0" applyAlignment="1">
      <alignment horizontal="center"/>
    </xf>
    <xf numFmtId="0" fontId="1" fillId="0" borderId="0" xfId="0" applyFont="1" applyAlignment="1">
      <alignment vertical="center"/>
    </xf>
    <xf numFmtId="0" fontId="4" fillId="2" borderId="1" xfId="0" applyFont="1" applyFill="1" applyBorder="1" applyAlignment="1">
      <alignment horizontal="left"/>
    </xf>
    <xf numFmtId="0" fontId="1" fillId="0" borderId="1" xfId="0" applyFont="1" applyBorder="1" applyAlignment="1">
      <alignment horizontal="center"/>
    </xf>
    <xf numFmtId="0" fontId="0" fillId="2" borderId="1" xfId="0" applyFill="1" applyBorder="1" applyAlignment="1">
      <alignment horizontal="center"/>
    </xf>
    <xf numFmtId="0" fontId="0" fillId="0" borderId="1" xfId="0" applyBorder="1" applyAlignment="1">
      <alignment horizontal="left"/>
    </xf>
    <xf numFmtId="0" fontId="0" fillId="3" borderId="1" xfId="0" applyFill="1" applyBorder="1" applyAlignment="1">
      <alignment horizontal="center"/>
    </xf>
    <xf numFmtId="0" fontId="0" fillId="0" borderId="2" xfId="0" applyBorder="1" applyAlignment="1">
      <alignment horizontal="center"/>
    </xf>
    <xf numFmtId="0" fontId="0" fillId="0" borderId="1" xfId="0" applyBorder="1" applyAlignment="1">
      <alignment horizontal="center" wrapText="1"/>
    </xf>
    <xf numFmtId="1" fontId="0" fillId="3" borderId="1" xfId="0" applyNumberFormat="1" applyFill="1" applyBorder="1" applyAlignment="1">
      <alignment horizontal="center"/>
    </xf>
    <xf numFmtId="0" fontId="1" fillId="3" borderId="1" xfId="0" applyFont="1" applyFill="1" applyBorder="1" applyAlignment="1">
      <alignment horizontal="center"/>
    </xf>
    <xf numFmtId="1" fontId="5" fillId="3" borderId="3" xfId="0" applyNumberFormat="1" applyFont="1" applyFill="1" applyBorder="1" applyAlignment="1">
      <alignment horizontal="center"/>
    </xf>
    <xf numFmtId="0" fontId="5" fillId="3" borderId="4" xfId="0" applyFont="1" applyFill="1" applyBorder="1" applyAlignment="1">
      <alignment horizontal="center"/>
    </xf>
    <xf numFmtId="1" fontId="5" fillId="3" borderId="5" xfId="0" applyNumberFormat="1" applyFont="1" applyFill="1" applyBorder="1" applyAlignment="1">
      <alignment horizontal="center"/>
    </xf>
    <xf numFmtId="0" fontId="1" fillId="0" borderId="0" xfId="0" applyFont="1" applyAlignment="1">
      <alignment horizontal="left" vertical="center"/>
    </xf>
    <xf numFmtId="0" fontId="1" fillId="0" borderId="0" xfId="0" applyFont="1" applyAlignment="1">
      <alignment vertical="center"/>
    </xf>
    <xf numFmtId="0" fontId="0" fillId="2" borderId="0" xfId="0" applyFill="1" applyAlignment="1">
      <alignment horizontal="center"/>
    </xf>
    <xf numFmtId="0" fontId="0" fillId="3" borderId="0" xfId="0" applyFill="1" applyAlignment="1">
      <alignment horizontal="center"/>
    </xf>
    <xf numFmtId="0" fontId="1" fillId="0" borderId="0" xfId="0" applyFont="1" applyAlignment="1">
      <alignment horizontal="center" vertical="center"/>
    </xf>
  </cellXfs>
  <cellStyles count="2">
    <cellStyle name="Hyperlink" xfId="1" builtinId="8"/>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16</xdr:row>
      <xdr:rowOff>28575</xdr:rowOff>
    </xdr:from>
    <xdr:to>
      <xdr:col>6</xdr:col>
      <xdr:colOff>41637</xdr:colOff>
      <xdr:row>19</xdr:row>
      <xdr:rowOff>3736</xdr:rowOff>
    </xdr:to>
    <xdr:pic>
      <xdr:nvPicPr>
        <xdr:cNvPr id="2" name="Picture 1">
          <a:extLst>
            <a:ext uri="{FF2B5EF4-FFF2-40B4-BE49-F238E27FC236}">
              <a16:creationId xmlns:a16="http://schemas.microsoft.com/office/drawing/2014/main" id="{5C1BF7CB-35FC-4459-98CF-9078B03F8149}"/>
            </a:ext>
          </a:extLst>
        </xdr:cNvPr>
        <xdr:cNvPicPr>
          <a:picLocks noChangeAspect="1"/>
        </xdr:cNvPicPr>
      </xdr:nvPicPr>
      <xdr:blipFill rotWithShape="1">
        <a:blip xmlns:r="http://schemas.openxmlformats.org/officeDocument/2006/relationships" r:embed="rId1"/>
        <a:srcRect t="9679"/>
        <a:stretch/>
      </xdr:blipFill>
      <xdr:spPr>
        <a:xfrm>
          <a:off x="1920240" y="2979420"/>
          <a:ext cx="2207622" cy="519991"/>
        </a:xfrm>
        <a:prstGeom prst="rect">
          <a:avLst/>
        </a:prstGeom>
      </xdr:spPr>
    </xdr:pic>
    <xdr:clientData/>
  </xdr:twoCellAnchor>
  <xdr:twoCellAnchor editAs="oneCell">
    <xdr:from>
      <xdr:col>10</xdr:col>
      <xdr:colOff>19050</xdr:colOff>
      <xdr:row>16</xdr:row>
      <xdr:rowOff>28575</xdr:rowOff>
    </xdr:from>
    <xdr:to>
      <xdr:col>13</xdr:col>
      <xdr:colOff>37869</xdr:colOff>
      <xdr:row>18</xdr:row>
      <xdr:rowOff>137099</xdr:rowOff>
    </xdr:to>
    <xdr:pic>
      <xdr:nvPicPr>
        <xdr:cNvPr id="3" name="Picture 2">
          <a:extLst>
            <a:ext uri="{FF2B5EF4-FFF2-40B4-BE49-F238E27FC236}">
              <a16:creationId xmlns:a16="http://schemas.microsoft.com/office/drawing/2014/main" id="{33A4EC73-C7FB-4E4F-A967-D32044373BE0}"/>
            </a:ext>
          </a:extLst>
        </xdr:cNvPr>
        <xdr:cNvPicPr>
          <a:picLocks noChangeAspect="1"/>
        </xdr:cNvPicPr>
      </xdr:nvPicPr>
      <xdr:blipFill>
        <a:blip xmlns:r="http://schemas.openxmlformats.org/officeDocument/2006/relationships" r:embed="rId2"/>
        <a:stretch>
          <a:fillRect/>
        </a:stretch>
      </xdr:blipFill>
      <xdr:spPr>
        <a:xfrm>
          <a:off x="6539865" y="2979420"/>
          <a:ext cx="1851429" cy="478094"/>
        </a:xfrm>
        <a:prstGeom prst="rect">
          <a:avLst/>
        </a:prstGeom>
      </xdr:spPr>
    </xdr:pic>
    <xdr:clientData/>
  </xdr:twoCellAnchor>
  <xdr:twoCellAnchor editAs="oneCell">
    <xdr:from>
      <xdr:col>0</xdr:col>
      <xdr:colOff>0</xdr:colOff>
      <xdr:row>3</xdr:row>
      <xdr:rowOff>200025</xdr:rowOff>
    </xdr:from>
    <xdr:to>
      <xdr:col>11</xdr:col>
      <xdr:colOff>587689</xdr:colOff>
      <xdr:row>13</xdr:row>
      <xdr:rowOff>98830</xdr:rowOff>
    </xdr:to>
    <xdr:pic>
      <xdr:nvPicPr>
        <xdr:cNvPr id="4" name="Picture 3">
          <a:extLst>
            <a:ext uri="{FF2B5EF4-FFF2-40B4-BE49-F238E27FC236}">
              <a16:creationId xmlns:a16="http://schemas.microsoft.com/office/drawing/2014/main" id="{57CE2082-122C-4673-817E-E365FEFCB994}"/>
            </a:ext>
          </a:extLst>
        </xdr:cNvPr>
        <xdr:cNvPicPr>
          <a:picLocks noChangeAspect="1"/>
        </xdr:cNvPicPr>
      </xdr:nvPicPr>
      <xdr:blipFill>
        <a:blip xmlns:r="http://schemas.openxmlformats.org/officeDocument/2006/relationships" r:embed="rId3"/>
        <a:stretch>
          <a:fillRect/>
        </a:stretch>
      </xdr:blipFill>
      <xdr:spPr>
        <a:xfrm>
          <a:off x="0" y="782955"/>
          <a:ext cx="7712389" cy="17314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CEPFWAPDy7o" TargetMode="External"/><Relationship Id="rId1" Type="http://schemas.openxmlformats.org/officeDocument/2006/relationships/hyperlink" Target="http://www.ti.com/lit/an/slva689/slva689.pdf"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7BA63-B05D-4298-8CB3-D3E3EE38C61C}">
  <dimension ref="A1:W33"/>
  <sheetViews>
    <sheetView tabSelected="1" workbookViewId="0">
      <selection activeCell="H24" sqref="H24"/>
    </sheetView>
  </sheetViews>
  <sheetFormatPr defaultRowHeight="14.4" x14ac:dyDescent="0.3"/>
  <cols>
    <col min="1" max="1" width="9.33203125" bestFit="1" customWidth="1"/>
    <col min="2" max="2" width="9.5546875" bestFit="1" customWidth="1"/>
    <col min="5" max="5" width="14" customWidth="1"/>
    <col min="21" max="21" width="22.6640625" customWidth="1"/>
    <col min="22" max="22" width="16.88671875" bestFit="1" customWidth="1"/>
    <col min="23" max="23" width="19.88671875" bestFit="1" customWidth="1"/>
  </cols>
  <sheetData>
    <row r="1" spans="1:23" x14ac:dyDescent="0.3">
      <c r="A1" t="s">
        <v>0</v>
      </c>
      <c r="T1" s="1"/>
      <c r="U1" s="1" t="s">
        <v>1</v>
      </c>
      <c r="V1" s="1" t="s">
        <v>2</v>
      </c>
      <c r="W1" s="1" t="s">
        <v>3</v>
      </c>
    </row>
    <row r="2" spans="1:23" ht="15.6" x14ac:dyDescent="0.35">
      <c r="A2" s="2" t="s">
        <v>4</v>
      </c>
      <c r="Q2" t="s">
        <v>1</v>
      </c>
      <c r="T2" s="1" t="s">
        <v>5</v>
      </c>
      <c r="U2" s="3">
        <v>1000</v>
      </c>
      <c r="V2" s="3">
        <v>300</v>
      </c>
      <c r="W2" s="3">
        <v>120</v>
      </c>
    </row>
    <row r="3" spans="1:23" ht="15.6" x14ac:dyDescent="0.35">
      <c r="A3" s="2" t="s">
        <v>6</v>
      </c>
      <c r="Q3" t="s">
        <v>2</v>
      </c>
      <c r="T3" s="1" t="s">
        <v>7</v>
      </c>
      <c r="U3" s="3">
        <v>400</v>
      </c>
      <c r="V3" s="3">
        <v>400</v>
      </c>
      <c r="W3" s="3">
        <v>550</v>
      </c>
    </row>
    <row r="4" spans="1:23" ht="15.6" x14ac:dyDescent="0.35">
      <c r="Q4" t="s">
        <v>3</v>
      </c>
      <c r="T4" s="1" t="s">
        <v>8</v>
      </c>
      <c r="U4" s="3">
        <v>0.4</v>
      </c>
      <c r="V4" s="3">
        <v>0.4</v>
      </c>
      <c r="W4" s="3">
        <v>0.4</v>
      </c>
    </row>
    <row r="5" spans="1:23" x14ac:dyDescent="0.3">
      <c r="U5" s="4"/>
      <c r="V5" s="4"/>
      <c r="W5" s="4"/>
    </row>
    <row r="6" spans="1:23" x14ac:dyDescent="0.3">
      <c r="U6" s="4"/>
      <c r="V6" s="4"/>
      <c r="W6" s="4"/>
    </row>
    <row r="7" spans="1:23" x14ac:dyDescent="0.3">
      <c r="U7" s="4"/>
      <c r="V7" s="4"/>
      <c r="W7" s="4"/>
    </row>
    <row r="8" spans="1:23" x14ac:dyDescent="0.3">
      <c r="U8" s="4"/>
      <c r="V8" s="4"/>
      <c r="W8" s="4"/>
    </row>
    <row r="9" spans="1:23" x14ac:dyDescent="0.3">
      <c r="U9" s="4"/>
      <c r="V9" s="4"/>
      <c r="W9" s="4"/>
    </row>
    <row r="10" spans="1:23" x14ac:dyDescent="0.3">
      <c r="U10" s="4"/>
      <c r="V10" s="4"/>
      <c r="W10" s="4"/>
    </row>
    <row r="11" spans="1:23" x14ac:dyDescent="0.3">
      <c r="U11" s="4"/>
      <c r="V11" s="4"/>
      <c r="W11" s="4"/>
    </row>
    <row r="12" spans="1:23" x14ac:dyDescent="0.3">
      <c r="U12" s="4"/>
      <c r="V12" s="4"/>
      <c r="W12" s="4"/>
    </row>
    <row r="13" spans="1:23" x14ac:dyDescent="0.3">
      <c r="U13" s="4"/>
      <c r="V13" s="4"/>
      <c r="W13" s="4"/>
    </row>
    <row r="14" spans="1:23" x14ac:dyDescent="0.3">
      <c r="U14" s="4"/>
      <c r="V14" s="4"/>
      <c r="W14" s="4"/>
    </row>
    <row r="15" spans="1:23" x14ac:dyDescent="0.3">
      <c r="U15" s="4"/>
      <c r="V15" s="4"/>
      <c r="W15" s="4"/>
    </row>
    <row r="16" spans="1:23" x14ac:dyDescent="0.3">
      <c r="U16" s="4"/>
      <c r="V16" s="4"/>
      <c r="W16" s="4"/>
    </row>
    <row r="17" spans="1:16" x14ac:dyDescent="0.3">
      <c r="A17" s="5" t="s">
        <v>9</v>
      </c>
      <c r="B17" s="5"/>
      <c r="C17" s="5"/>
      <c r="D17" s="6"/>
      <c r="E17" s="6"/>
      <c r="F17" s="6"/>
      <c r="G17" s="6"/>
      <c r="H17" s="7" t="s">
        <v>10</v>
      </c>
      <c r="I17" s="7"/>
      <c r="J17" s="7"/>
      <c r="K17" s="6"/>
      <c r="L17" s="6"/>
      <c r="M17" s="6"/>
      <c r="N17" s="6"/>
    </row>
    <row r="18" spans="1:16" x14ac:dyDescent="0.3">
      <c r="A18" s="5"/>
      <c r="B18" s="5"/>
      <c r="C18" s="5"/>
      <c r="D18" s="6"/>
      <c r="E18" s="6"/>
      <c r="F18" s="6"/>
      <c r="G18" s="6"/>
      <c r="H18" s="7"/>
      <c r="I18" s="7"/>
      <c r="J18" s="7"/>
      <c r="K18" s="6"/>
      <c r="L18" s="6"/>
      <c r="M18" s="6"/>
      <c r="N18" s="6"/>
    </row>
    <row r="19" spans="1:16" x14ac:dyDescent="0.3">
      <c r="A19" s="5"/>
      <c r="B19" s="5"/>
      <c r="C19" s="5"/>
      <c r="D19" s="6"/>
      <c r="E19" s="6"/>
      <c r="F19" s="6"/>
      <c r="G19" s="6"/>
      <c r="H19" s="7"/>
      <c r="I19" s="7"/>
      <c r="J19" s="7"/>
      <c r="K19" s="6"/>
      <c r="L19" s="6"/>
      <c r="M19" s="6"/>
      <c r="N19" s="6"/>
    </row>
    <row r="20" spans="1:16" x14ac:dyDescent="0.3">
      <c r="A20" s="20"/>
      <c r="B20" s="20"/>
      <c r="C20" s="20"/>
      <c r="D20" s="4"/>
      <c r="E20" s="4"/>
      <c r="F20" s="4"/>
      <c r="G20" s="4"/>
      <c r="H20" s="21"/>
      <c r="I20" s="21"/>
      <c r="J20" s="21"/>
      <c r="K20" s="4"/>
      <c r="L20" s="4"/>
      <c r="M20" s="4"/>
      <c r="N20" s="4"/>
    </row>
    <row r="21" spans="1:16" x14ac:dyDescent="0.3">
      <c r="A21" s="22" t="s">
        <v>12</v>
      </c>
      <c r="B21" s="22"/>
      <c r="C21" s="22"/>
      <c r="D21" s="22"/>
      <c r="E21" s="4"/>
      <c r="F21" s="4"/>
      <c r="G21" s="4"/>
      <c r="H21" s="21"/>
      <c r="I21" s="21"/>
      <c r="J21" s="21"/>
      <c r="K21" s="4"/>
      <c r="L21" s="4"/>
      <c r="M21" s="4"/>
      <c r="N21" s="4"/>
    </row>
    <row r="22" spans="1:16" x14ac:dyDescent="0.3">
      <c r="A22" s="23" t="s">
        <v>16</v>
      </c>
      <c r="B22" s="23"/>
      <c r="C22" s="23"/>
      <c r="D22" s="23"/>
      <c r="E22" s="4"/>
      <c r="F22" s="4"/>
      <c r="G22" s="4"/>
      <c r="H22" s="21"/>
      <c r="I22" s="21"/>
      <c r="J22" s="21"/>
      <c r="K22" s="4"/>
      <c r="L22" s="4"/>
      <c r="M22" s="4"/>
      <c r="N22" s="4"/>
    </row>
    <row r="24" spans="1:16" x14ac:dyDescent="0.3">
      <c r="A24" s="1" t="s">
        <v>11</v>
      </c>
      <c r="B24" s="8" t="s">
        <v>1</v>
      </c>
      <c r="C24" s="8"/>
      <c r="D24" s="8"/>
      <c r="J24" s="9" t="s">
        <v>13</v>
      </c>
      <c r="K24" s="9"/>
      <c r="L24" s="9"/>
      <c r="M24" s="9"/>
    </row>
    <row r="25" spans="1:16" ht="15.6" x14ac:dyDescent="0.35">
      <c r="A25" s="1" t="s">
        <v>14</v>
      </c>
      <c r="B25" s="10">
        <v>1.8</v>
      </c>
      <c r="C25" s="10"/>
      <c r="D25" s="3" t="s">
        <v>15</v>
      </c>
      <c r="J25" s="11" t="s">
        <v>17</v>
      </c>
      <c r="K25" s="11"/>
      <c r="L25" s="10">
        <v>5</v>
      </c>
      <c r="M25" s="10"/>
      <c r="N25" s="24" t="s">
        <v>18</v>
      </c>
      <c r="O25" s="24"/>
      <c r="P25" s="24"/>
    </row>
    <row r="26" spans="1:16" ht="15.6" x14ac:dyDescent="0.35">
      <c r="A26" s="1" t="s">
        <v>19</v>
      </c>
      <c r="B26" s="10">
        <v>3</v>
      </c>
      <c r="C26" s="10"/>
      <c r="D26" s="3" t="s">
        <v>20</v>
      </c>
      <c r="J26" s="11" t="s">
        <v>21</v>
      </c>
      <c r="K26" s="11"/>
      <c r="L26" s="10">
        <v>5</v>
      </c>
      <c r="M26" s="10"/>
      <c r="N26" s="24"/>
      <c r="O26" s="24"/>
      <c r="P26" s="24"/>
    </row>
    <row r="27" spans="1:16" ht="15.6" x14ac:dyDescent="0.35">
      <c r="A27" s="1" t="s">
        <v>5</v>
      </c>
      <c r="B27" s="12">
        <f>HLOOKUP($B$24,T1:W4,2,FALSE)</f>
        <v>1000</v>
      </c>
      <c r="C27" s="12"/>
      <c r="D27" s="3" t="s">
        <v>22</v>
      </c>
      <c r="J27" s="11" t="s">
        <v>23</v>
      </c>
      <c r="K27" s="11"/>
      <c r="L27" s="10">
        <v>3</v>
      </c>
      <c r="M27" s="10"/>
      <c r="N27" s="24"/>
      <c r="O27" s="24"/>
      <c r="P27" s="24"/>
    </row>
    <row r="28" spans="1:16" ht="15.6" x14ac:dyDescent="0.35">
      <c r="A28" s="1" t="s">
        <v>7</v>
      </c>
      <c r="B28" s="12">
        <f>L30</f>
        <v>33.82</v>
      </c>
      <c r="C28" s="12"/>
      <c r="D28" s="3" t="s">
        <v>24</v>
      </c>
      <c r="E28" s="13" t="str">
        <f>IF(B28&gt;HLOOKUP($B$24,T1:W4,3,FALSE),"High bus capacitance","Acceptable bus capacitance")</f>
        <v>Acceptable bus capacitance</v>
      </c>
      <c r="F28" s="6"/>
      <c r="G28" s="6"/>
      <c r="J28" s="11" t="s">
        <v>25</v>
      </c>
      <c r="K28" s="11"/>
      <c r="L28" s="10">
        <v>0.82</v>
      </c>
      <c r="M28" s="10"/>
    </row>
    <row r="29" spans="1:16" ht="15.6" x14ac:dyDescent="0.35">
      <c r="A29" s="1" t="s">
        <v>8</v>
      </c>
      <c r="B29" s="12">
        <f>IF(B25&gt;2,HLOOKUP($B$24,T1:W4,4,FALSE),B25*0.2)</f>
        <v>0.36000000000000004</v>
      </c>
      <c r="C29" s="12"/>
      <c r="D29" s="3" t="s">
        <v>15</v>
      </c>
      <c r="J29" s="14" t="s">
        <v>26</v>
      </c>
      <c r="K29" s="14"/>
      <c r="L29" s="10">
        <v>20</v>
      </c>
      <c r="M29" s="10"/>
    </row>
    <row r="30" spans="1:16" x14ac:dyDescent="0.3">
      <c r="A30" s="1" t="s">
        <v>27</v>
      </c>
      <c r="B30" s="15">
        <f>(B25-B29)/(B26*10^-3)</f>
        <v>480</v>
      </c>
      <c r="C30" s="15"/>
      <c r="D30" s="3" t="s">
        <v>28</v>
      </c>
      <c r="J30" s="9" t="s">
        <v>29</v>
      </c>
      <c r="K30" s="9"/>
      <c r="L30" s="16">
        <f>SUM(L25:M29)</f>
        <v>33.82</v>
      </c>
      <c r="M30" s="16"/>
    </row>
    <row r="31" spans="1:16" x14ac:dyDescent="0.3">
      <c r="A31" s="1" t="s">
        <v>30</v>
      </c>
      <c r="B31" s="15">
        <f>(B27*10^-9)/(0.8473*B28*10^-12)</f>
        <v>34897.088138109837</v>
      </c>
      <c r="C31" s="15"/>
      <c r="D31" s="3" t="s">
        <v>28</v>
      </c>
    </row>
    <row r="32" spans="1:16" ht="15" thickBot="1" x14ac:dyDescent="0.35"/>
    <row r="33" spans="1:5" ht="21" thickBot="1" x14ac:dyDescent="0.5">
      <c r="A33" s="17">
        <f>B30</f>
        <v>480</v>
      </c>
      <c r="B33" s="18" t="s">
        <v>31</v>
      </c>
      <c r="C33" s="18" t="s">
        <v>32</v>
      </c>
      <c r="D33" s="18" t="s">
        <v>31</v>
      </c>
      <c r="E33" s="19">
        <f>B31</f>
        <v>34897.088138109837</v>
      </c>
    </row>
  </sheetData>
  <mergeCells count="29">
    <mergeCell ref="B30:C30"/>
    <mergeCell ref="J30:K30"/>
    <mergeCell ref="L30:M30"/>
    <mergeCell ref="B31:C31"/>
    <mergeCell ref="A21:D21"/>
    <mergeCell ref="A22:D22"/>
    <mergeCell ref="B28:C28"/>
    <mergeCell ref="E28:G28"/>
    <mergeCell ref="J28:K28"/>
    <mergeCell ref="L28:M28"/>
    <mergeCell ref="B29:C29"/>
    <mergeCell ref="J29:K29"/>
    <mergeCell ref="L29:M29"/>
    <mergeCell ref="B25:C25"/>
    <mergeCell ref="J25:K25"/>
    <mergeCell ref="L25:M25"/>
    <mergeCell ref="N25:P27"/>
    <mergeCell ref="B26:C26"/>
    <mergeCell ref="J26:K26"/>
    <mergeCell ref="L26:M26"/>
    <mergeCell ref="B27:C27"/>
    <mergeCell ref="J27:K27"/>
    <mergeCell ref="L27:M27"/>
    <mergeCell ref="A17:C19"/>
    <mergeCell ref="D17:G19"/>
    <mergeCell ref="H17:J19"/>
    <mergeCell ref="K17:N19"/>
    <mergeCell ref="B24:D24"/>
    <mergeCell ref="J24:M24"/>
  </mergeCells>
  <conditionalFormatting sqref="E28:G28">
    <cfRule type="containsText" dxfId="1" priority="1" operator="containsText" text="Acceptable bus capacitance">
      <formula>NOT(ISERROR(SEARCH("Acceptable bus capacitance",E28)))</formula>
    </cfRule>
    <cfRule type="containsText" dxfId="0" priority="2" operator="containsText" text="High bus capacitance">
      <formula>NOT(ISERROR(SEARCH("High bus capacitance",E28)))</formula>
    </cfRule>
  </conditionalFormatting>
  <dataValidations count="1">
    <dataValidation type="list" allowBlank="1" showInputMessage="1" showErrorMessage="1" sqref="B24" xr:uid="{5DF2D53B-6A6A-45E2-9FC4-DA0A62CDFD48}">
      <formula1>$Q$2:$Q$4</formula1>
    </dataValidation>
  </dataValidations>
  <hyperlinks>
    <hyperlink ref="A2" r:id="rId1" xr:uid="{90B55340-4FE7-45BF-AA2C-87FF61C08EDF}"/>
    <hyperlink ref="A3" r:id="rId2" xr:uid="{D2CBFC01-BC22-47B4-8E7D-6FAE7DD370AE}"/>
  </hyperlinks>
  <pageMargins left="0.7" right="0.7" top="0.75" bottom="0.75" header="0.3" footer="0.3"/>
  <pageSetup paperSize="9" orientation="portrait" horizontalDpi="4294967295" verticalDpi="4294967295" r:id="rId3"/>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I2C Pull-Up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Nikos Antoniou</dc:creator>
  <cp:lastModifiedBy>Nikos Antoniou</cp:lastModifiedBy>
  <dcterms:created xsi:type="dcterms:W3CDTF">2015-06-05T18:19:34Z</dcterms:created>
  <dcterms:modified xsi:type="dcterms:W3CDTF">2021-07-26T07:12:38Z</dcterms:modified>
</cp:coreProperties>
</file>